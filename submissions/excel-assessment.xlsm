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09" codeName="{00000000-0000-0000-0000-000000000000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varunandhra/Documents/GitHub/MapUp-DA-Assessment-2024/"/>
    </mc:Choice>
  </mc:AlternateContent>
  <xr:revisionPtr revIDLastSave="0" documentId="8_{F663686F-C115-493D-B4C8-7C4A0322AFD0}" xr6:coauthVersionLast="47" xr6:coauthVersionMax="47" xr10:uidLastSave="{00000000-0000-0000-0000-000000000000}"/>
  <bookViews>
    <workbookView xWindow="0" yWindow="500" windowWidth="29400" windowHeight="16300" tabRatio="849" firstSheet="2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 a="1"/>
  <c r="C22" i="19"/>
  <c r="B18" i="16" a="1"/>
  <c r="B18" i="16"/>
  <c r="B19" i="16" a="1"/>
  <c r="B19" i="16"/>
  <c r="B20" i="16" a="1"/>
  <c r="B20" i="16"/>
  <c r="B21" i="16" a="1"/>
  <c r="B21" i="16"/>
  <c r="B22" i="16" a="1"/>
  <c r="B22" i="16"/>
  <c r="B23" i="16" a="1"/>
  <c r="B23" i="16"/>
  <c r="B24" i="16" a="1"/>
  <c r="B24" i="16"/>
  <c r="B25" i="16" a="1"/>
  <c r="B25" i="16"/>
  <c r="B26" i="16" a="1"/>
  <c r="B26" i="16"/>
  <c r="B27" i="16" a="1"/>
  <c r="B27" i="16"/>
  <c r="B28" i="16" a="1"/>
  <c r="B28" i="16"/>
  <c r="B29" i="16" a="1"/>
  <c r="B29" i="16"/>
  <c r="B30" i="16" a="1"/>
  <c r="B30" i="16"/>
  <c r="B31" i="16" a="1"/>
  <c r="B31" i="16"/>
  <c r="B32" i="16" a="1"/>
  <c r="B32" i="16"/>
  <c r="B33" i="16" a="1"/>
  <c r="B33" i="16"/>
  <c r="B34" i="16" a="1"/>
  <c r="B34" i="16"/>
  <c r="B35" i="16" a="1"/>
  <c r="B35" i="16"/>
  <c r="B36" i="16" a="1"/>
  <c r="B36" i="16"/>
  <c r="B37" i="16" a="1"/>
  <c r="B37" i="16"/>
  <c r="B38" i="16" a="1"/>
  <c r="B38" i="16"/>
  <c r="B39" i="16" a="1"/>
  <c r="B39" i="16"/>
  <c r="B40" i="16" a="1"/>
  <c r="B40" i="16"/>
  <c r="B41" i="16" a="1"/>
  <c r="B41" i="16"/>
  <c r="B42" i="16" a="1"/>
  <c r="B42" i="16"/>
  <c r="B43" i="16" a="1"/>
  <c r="B43" i="16"/>
  <c r="B44" i="16" a="1"/>
  <c r="B44" i="16"/>
  <c r="B45" i="16" a="1"/>
  <c r="B45" i="16"/>
  <c r="B46" i="16" a="1"/>
  <c r="B46" i="16"/>
  <c r="B47" i="16" a="1"/>
  <c r="B47" i="16"/>
  <c r="B48" i="16" a="1"/>
  <c r="B48" i="16"/>
  <c r="B49" i="16" a="1"/>
  <c r="B49" i="16"/>
  <c r="B50" i="16" a="1"/>
  <c r="B50" i="16"/>
  <c r="B51" i="16" a="1"/>
  <c r="B51" i="16"/>
  <c r="B52" i="16" a="1"/>
  <c r="B52" i="16"/>
  <c r="B53" i="16" a="1"/>
  <c r="B53" i="16"/>
  <c r="B54" i="16" a="1"/>
  <c r="B54" i="16"/>
  <c r="B17" i="16" a="1"/>
  <c r="B17" i="16"/>
  <c r="B16" i="16" a="1"/>
  <c r="B16" i="16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F28" i="18"/>
  <c r="E28" i="18"/>
  <c r="D28" i="18"/>
  <c r="C28" i="18"/>
  <c r="B29" i="18"/>
  <c r="C29" i="18"/>
  <c r="D29" i="18"/>
  <c r="E29" i="18"/>
  <c r="F29" i="18"/>
  <c r="F30" i="18"/>
  <c r="E30" i="18"/>
  <c r="D30" i="18"/>
  <c r="C30" i="18"/>
  <c r="B30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<sst xmlns="http://schemas.openxmlformats.org/spreadsheetml/2006/main" count="333" uniqueCount="188">
  <si>
    <t>Instructions</t>
  </si>
  <si>
    <t>1. There are 5 tasks in total for the Excel assessment.</t>
  </si>
  <si>
    <t>2. Each task holds different weightage.</t>
  </si>
  <si>
    <t>3. For Task_1 and Task_2, please refer to the "Dataset"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</si>
  <si>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</si>
  <si>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</si>
  <si>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</si>
  <si>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</si>
  <si>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</si>
  <si>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</si>
  <si>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</si>
  <si>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</si>
  <si>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</si>
  <si>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</si>
  <si>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</si>
  <si>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</si>
  <si>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</si>
  <si>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</si>
  <si>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</si>
  <si>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</si>
  <si>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</si>
  <si>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</si>
  <si>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</si>
  <si>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</si>
  <si>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</si>
  <si>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</si>
  <si>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</si>
  <si>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</si>
  <si>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</si>
  <si>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</si>
  <si>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</si>
  <si>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</si>
  <si>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</si>
  <si>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</si>
  <si>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</si>
  <si>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</si>
  <si>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</si>
  <si>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</si>
  <si>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</si>
  <si>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</si>
  <si>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</si>
  <si>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</si>
  <si>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</si>
  <si>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</si>
  <si>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</si>
  <si>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</si>
  <si>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</si>
  <si>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</si>
  <si>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</si>
  <si>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</si>
  <si>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</si>
  <si>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</si>
  <si>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</si>
  <si>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</si>
  <si>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</si>
  <si>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</si>
  <si>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</si>
  <si>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</si>
  <si>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</si>
  <si>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</si>
  <si>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</si>
  <si>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</si>
  <si>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</si>
  <si>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</si>
  <si>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</si>
  <si>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</si>
  <si>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</si>
  <si>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</si>
  <si>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</si>
  <si>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</si>
  <si>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</si>
  <si>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</si>
  <si>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</si>
  <si>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</si>
  <si>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</si>
  <si>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</si>
  <si>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</si>
  <si>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</si>
  <si>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</si>
  <si>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</si>
  <si>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</si>
  <si>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</si>
  <si>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</si>
  <si>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</si>
  <si>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</si>
  <si>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</si>
  <si>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</si>
  <si>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>Give the sum of all values greater than '20' in column H labelled 'car2'</t>
  </si>
  <si>
    <t>=SUMIF(H:H, "&gt;20")</t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</si>
  <si>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</si>
  <si>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</si>
  <si>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</si>
  <si>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</si>
  <si>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</si>
  <si>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</si>
  <si>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</si>
  <si>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</si>
  <si>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</si>
  <si>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</si>
  <si>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 xml:space="preserve">=TEXTSPLIT(&lt;cell reference&gt;, "-")
</t>
  </si>
  <si>
    <t>Explanation:</t>
  </si>
  <si>
    <t>1. I applied the TEXTSPLIT(A16, "-") formula to split the string into different columns.</t>
  </si>
  <si>
    <t>2. To apply this functionality to other rows, I dragged the formula down to replicate it for each subsequent row.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</si>
  <si>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</si>
  <si>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</si>
  <si>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</si>
  <si>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</si>
  <si>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</si>
  <si>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</si>
  <si>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</si>
  <si>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</si>
  <si>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</si>
  <si>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</si>
  <si>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</si>
  <si>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</si>
  <si>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</si>
  <si>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</si>
  <si>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</si>
  <si>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</si>
  <si>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</si>
  <si>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</si>
  <si>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</si>
  <si>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</si>
  <si>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</si>
  <si>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</si>
  <si>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</si>
  <si>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</si>
  <si>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</si>
  <si>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</si>
  <si>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</si>
  <si>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</si>
  <si>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</si>
  <si>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</si>
  <si>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</si>
  <si>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</si>
  <si>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</si>
  <si>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</si>
  <si>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</si>
  <si>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</si>
  <si>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</si>
  <si>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</si>
  <si>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</si>
  <si>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</si>
  <si>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</si>
  <si>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</si>
  <si>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</si>
  <si>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</si>
  <si>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</si>
  <si>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</si>
  <si>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</si>
  <si>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</si>
  <si>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#N/A values must be substituted with the value '20'</t>
  </si>
  <si>
    <t>=SUM(IFERROR(C12:C21, 20))</t>
  </si>
  <si>
    <t xml:space="preserve">1. I used the IFERROR function to replace any #N/A values with 20. The function checks each cell in the Sales column (B2) and, if an error (#N/A) is encountered, it substitutes it with the value 20.
</t>
  </si>
  <si>
    <t>2. The SUM function then calculates the total of all the sales, including the substituted values.</t>
  </si>
  <si>
    <t>Date</t>
  </si>
  <si>
    <t>Product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</si>
  <si>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</si>
  <si>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</si>
  <si>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</si>
  <si>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</si>
  <si>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</si>
  <si>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</si>
  <si>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</si>
  <si>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</si>
  <si>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</si>
  <si>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</si>
  <si>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</si>
  <si>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</si>
  <si>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</si>
  <si>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=VLOOKUP(VLOOKUP(A23, $M$9:$N$18, 2, FALSE), $A$9:$J$18, MATCH(VLOOKUP(B23, $M$9:$N$18, 2, FALSE), $A$9:$J$9, 0), FALSE)</t>
  </si>
  <si>
    <t>1. Inner VLOOKUP: The formula first looks up the ID in A23 to find its corresponding letter from Table_B (range $M$9:$N$18). Column Index via MATCH: It retrieves another letter for the ID in B23, using MATCH to determine the correct column index in Table_A based on this letter.</t>
  </si>
  <si>
    <t>2. Outer VLOOKUP: Finally, it fetches the value from Table_A at the intersection of the row corresponding to the first letter and the column identified by the second letter, effectively populating the value column in Table_C.</t>
  </si>
  <si>
    <t>3. To apply this functionality to other rows, I dragged the formula down to replicate it for each subsequent row.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</si>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</sst>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1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14" fillId="0" borderId="0" xfId="0" quotePrefix="1" applyFont="1"/>
    <xf numFmtId="165" fontId="7" fillId="0" borderId="0" xfId="0" applyNumberFormat="1" applyFont="1"/>
    <xf numFmtId="165" fontId="3" fillId="0" borderId="0" xfId="0" applyNumberFormat="1" applyFont="1"/>
    <xf numFmtId="0" fontId="15" fillId="0" borderId="0" xfId="0" quotePrefix="1" applyFont="1" applyAlignment="1"/>
    <xf numFmtId="0" fontId="3" fillId="0" borderId="0" xfId="0" quotePrefix="1" applyFont="1"/>
    <xf numFmtId="0" fontId="3" fillId="0" borderId="0" xfId="0" applyFont="1" applyAlignment="1"/>
    <xf numFmtId="0" fontId="8" fillId="0" borderId="0" xfId="0" quotePrefix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abSelected="1" topLeftCell="A4" zoomScaleNormal="100" workbookViewId="0">
      <selection activeCell="A13" sqref="A13"/>
    </sheetView>
  </sheetViews>
  <sheetFormatPr defaultColWidth="11" defaultRowHeight="14.1"/>
  <cols>
    <col min="1" max="1" width="70.83203125" style="2" bestFit="1" customWidth="1"/>
    <col min="2" max="16384" width="11" style="2"/>
  </cols>
  <sheetData>
    <row r="1" spans="1:3" ht="18.95">
      <c r="A1" s="38" t="s">
        <v>0</v>
      </c>
    </row>
    <row r="2" spans="1:3">
      <c r="A2" s="2" t="s">
        <v>1</v>
      </c>
    </row>
    <row r="3" spans="1:3">
      <c r="A3" s="2" t="s">
        <v>2</v>
      </c>
    </row>
    <row r="4" spans="1:3" ht="15">
      <c r="A4" s="2" t="s">
        <v>3</v>
      </c>
      <c r="C4" s="1"/>
    </row>
    <row r="5" spans="1:3">
      <c r="A5" s="2" t="s">
        <v>4</v>
      </c>
    </row>
    <row r="8" spans="1:3">
      <c r="A8" s="2" t="s">
        <v>5</v>
      </c>
    </row>
    <row r="9" spans="1:3">
      <c r="A9" s="35" t="s">
        <v>6</v>
      </c>
      <c r="B9" s="26" t="s">
        <v>7</v>
      </c>
    </row>
    <row r="10" spans="1:3">
      <c r="A10" s="34" t="s">
        <v>8</v>
      </c>
      <c r="B10" s="36">
        <v>25</v>
      </c>
    </row>
    <row r="11" spans="1:3">
      <c r="A11" s="34" t="s">
        <v>9</v>
      </c>
      <c r="B11" s="36">
        <v>30</v>
      </c>
    </row>
    <row r="12" spans="1:3">
      <c r="A12" s="34" t="s">
        <v>10</v>
      </c>
      <c r="B12" s="36">
        <v>10</v>
      </c>
    </row>
    <row r="13" spans="1:3">
      <c r="A13" s="34" t="s">
        <v>11</v>
      </c>
      <c r="B13" s="36">
        <v>20</v>
      </c>
    </row>
    <row r="14" spans="1:3">
      <c r="A14" s="34" t="s">
        <v>12</v>
      </c>
      <c r="B14" s="36">
        <v>40</v>
      </c>
    </row>
    <row r="15" spans="1:3">
      <c r="A15" s="37" t="s">
        <v>13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pane ySplit="1" topLeftCell="E8" activePane="bottomLeft" state="frozen"/>
      <selection pane="bottomLeft" activeCell="E8" sqref="E8"/>
    </sheetView>
  </sheetViews>
  <sheetFormatPr defaultColWidth="9" defaultRowHeight="1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3" style="46" bestFit="1" customWidth="1"/>
    <col min="25" max="16384" width="9" style="1"/>
  </cols>
  <sheetData>
    <row r="1" spans="1:24" s="3" customFormat="1" ht="14.85" customHeight="1">
      <c r="A1" s="27" t="s">
        <v>14</v>
      </c>
      <c r="B1" s="27" t="s">
        <v>15</v>
      </c>
      <c r="C1" s="27" t="s">
        <v>16</v>
      </c>
      <c r="D1" s="28" t="s">
        <v>17</v>
      </c>
      <c r="E1" s="27" t="s">
        <v>18</v>
      </c>
      <c r="F1" s="28" t="s">
        <v>19</v>
      </c>
      <c r="G1" s="29" t="s">
        <v>20</v>
      </c>
      <c r="H1" s="29" t="s">
        <v>21</v>
      </c>
      <c r="I1" s="29" t="s">
        <v>22</v>
      </c>
      <c r="J1" s="30" t="s">
        <v>23</v>
      </c>
      <c r="K1" s="30" t="s">
        <v>24</v>
      </c>
      <c r="L1" s="30" t="s">
        <v>25</v>
      </c>
      <c r="M1" s="29" t="s">
        <v>26</v>
      </c>
      <c r="N1" s="29" t="s">
        <v>27</v>
      </c>
      <c r="O1" s="29" t="s">
        <v>28</v>
      </c>
      <c r="P1" s="30" t="s">
        <v>29</v>
      </c>
      <c r="Q1" s="30" t="s">
        <v>30</v>
      </c>
      <c r="R1" s="30" t="s">
        <v>31</v>
      </c>
      <c r="S1" s="29" t="s">
        <v>32</v>
      </c>
      <c r="T1" s="29" t="s">
        <v>33</v>
      </c>
      <c r="U1" s="30" t="s">
        <v>34</v>
      </c>
      <c r="V1" s="30" t="s">
        <v>35</v>
      </c>
      <c r="W1" s="30" t="s">
        <v>36</v>
      </c>
      <c r="X1" s="45" t="s">
        <v>37</v>
      </c>
    </row>
    <row r="2" spans="1:24">
      <c r="A2" s="1" t="s">
        <v>38</v>
      </c>
      <c r="B2" s="1">
        <v>20000</v>
      </c>
      <c r="C2" s="1" t="s">
        <v>39</v>
      </c>
      <c r="D2" s="24">
        <v>0</v>
      </c>
      <c r="E2" s="1" t="s">
        <v>40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>
      <c r="A3" s="1" t="s">
        <v>41</v>
      </c>
      <c r="B3" s="1">
        <v>20002</v>
      </c>
      <c r="C3" s="1" t="s">
        <v>39</v>
      </c>
      <c r="D3" s="24">
        <v>0</v>
      </c>
      <c r="E3" s="1" t="s">
        <v>40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>
      <c r="A4" s="1" t="s">
        <v>42</v>
      </c>
      <c r="B4" s="1">
        <v>20004</v>
      </c>
      <c r="C4" s="1" t="s">
        <v>39</v>
      </c>
      <c r="D4" s="24">
        <v>0</v>
      </c>
      <c r="E4" s="1" t="s">
        <v>40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>
      <c r="A5" s="1" t="s">
        <v>43</v>
      </c>
      <c r="B5" s="1">
        <v>20006</v>
      </c>
      <c r="C5" s="1" t="s">
        <v>39</v>
      </c>
      <c r="D5" s="24">
        <v>0</v>
      </c>
      <c r="E5" s="1" t="s">
        <v>40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>
      <c r="A6" s="1" t="s">
        <v>44</v>
      </c>
      <c r="B6" s="1">
        <v>20008</v>
      </c>
      <c r="C6" s="1" t="s">
        <v>39</v>
      </c>
      <c r="D6" s="24">
        <v>0</v>
      </c>
      <c r="E6" s="1" t="s">
        <v>40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>
      <c r="A7" s="1" t="s">
        <v>45</v>
      </c>
      <c r="B7" s="1">
        <v>20010</v>
      </c>
      <c r="C7" s="1" t="s">
        <v>39</v>
      </c>
      <c r="D7" s="24">
        <v>0</v>
      </c>
      <c r="E7" s="1" t="s">
        <v>40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>
      <c r="A8" s="1" t="s">
        <v>46</v>
      </c>
      <c r="B8" s="1">
        <v>20012</v>
      </c>
      <c r="C8" s="1" t="s">
        <v>39</v>
      </c>
      <c r="D8" s="24">
        <v>0</v>
      </c>
      <c r="E8" s="1" t="s">
        <v>40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>
      <c r="A9" s="1" t="s">
        <v>47</v>
      </c>
      <c r="B9" s="1">
        <v>20014</v>
      </c>
      <c r="C9" s="1" t="s">
        <v>39</v>
      </c>
      <c r="D9" s="24">
        <v>0</v>
      </c>
      <c r="E9" s="1" t="s">
        <v>40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>
      <c r="A10" s="1" t="s">
        <v>48</v>
      </c>
      <c r="B10" s="1">
        <v>20016</v>
      </c>
      <c r="C10" s="1" t="s">
        <v>39</v>
      </c>
      <c r="D10" s="24">
        <v>0</v>
      </c>
      <c r="E10" s="1" t="s">
        <v>40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>
      <c r="A11" s="1" t="s">
        <v>49</v>
      </c>
      <c r="B11" s="1">
        <v>20018</v>
      </c>
      <c r="C11" s="1" t="s">
        <v>39</v>
      </c>
      <c r="D11" s="24">
        <v>0</v>
      </c>
      <c r="E11" s="1" t="s">
        <v>40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>
      <c r="A12" s="1" t="s">
        <v>50</v>
      </c>
      <c r="B12" s="1">
        <v>20020</v>
      </c>
      <c r="C12" s="1" t="s">
        <v>39</v>
      </c>
      <c r="D12" s="24">
        <v>0</v>
      </c>
      <c r="E12" s="1" t="s">
        <v>40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>
      <c r="A13" s="1" t="s">
        <v>51</v>
      </c>
      <c r="B13" s="1">
        <v>20022</v>
      </c>
      <c r="C13" s="1" t="s">
        <v>39</v>
      </c>
      <c r="D13" s="24">
        <v>0</v>
      </c>
      <c r="E13" s="1" t="s">
        <v>40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>
      <c r="A14" s="1" t="s">
        <v>52</v>
      </c>
      <c r="B14" s="1">
        <v>20024</v>
      </c>
      <c r="C14" s="1" t="s">
        <v>39</v>
      </c>
      <c r="D14" s="24">
        <v>0</v>
      </c>
      <c r="E14" s="1" t="s">
        <v>40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>
      <c r="A15" s="1" t="s">
        <v>53</v>
      </c>
      <c r="B15" s="1">
        <v>20026</v>
      </c>
      <c r="C15" s="1" t="s">
        <v>39</v>
      </c>
      <c r="D15" s="24">
        <v>0</v>
      </c>
      <c r="E15" s="1" t="s">
        <v>40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>
      <c r="A16" s="1" t="s">
        <v>54</v>
      </c>
      <c r="B16" s="1">
        <v>20028</v>
      </c>
      <c r="C16" s="1" t="s">
        <v>39</v>
      </c>
      <c r="D16" s="24">
        <v>0</v>
      </c>
      <c r="E16" s="1" t="s">
        <v>40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>
      <c r="A17" s="1" t="s">
        <v>55</v>
      </c>
      <c r="B17" s="1">
        <v>20030</v>
      </c>
      <c r="C17" s="1" t="s">
        <v>39</v>
      </c>
      <c r="D17" s="24">
        <v>0</v>
      </c>
      <c r="E17" s="1" t="s">
        <v>40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>
      <c r="A18" s="1" t="s">
        <v>56</v>
      </c>
      <c r="B18" s="1">
        <v>20032</v>
      </c>
      <c r="C18" s="1" t="s">
        <v>39</v>
      </c>
      <c r="D18" s="24">
        <v>0</v>
      </c>
      <c r="E18" s="1" t="s">
        <v>40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>
      <c r="A19" s="1" t="s">
        <v>57</v>
      </c>
      <c r="B19" s="1">
        <v>20034</v>
      </c>
      <c r="C19" s="1" t="s">
        <v>39</v>
      </c>
      <c r="D19" s="24">
        <v>0</v>
      </c>
      <c r="E19" s="1" t="s">
        <v>40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>
      <c r="A20" s="1" t="s">
        <v>58</v>
      </c>
      <c r="B20" s="1">
        <v>20036</v>
      </c>
      <c r="C20" s="1" t="s">
        <v>39</v>
      </c>
      <c r="D20" s="24">
        <v>0</v>
      </c>
      <c r="E20" s="1" t="s">
        <v>40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>
      <c r="A21" s="1" t="s">
        <v>59</v>
      </c>
      <c r="B21" s="1">
        <v>20038</v>
      </c>
      <c r="C21" s="1" t="s">
        <v>39</v>
      </c>
      <c r="D21" s="24">
        <v>0</v>
      </c>
      <c r="E21" s="1" t="s">
        <v>40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>
      <c r="A22" s="1" t="s">
        <v>60</v>
      </c>
      <c r="B22" s="1">
        <v>20040</v>
      </c>
      <c r="C22" s="1" t="s">
        <v>39</v>
      </c>
      <c r="D22" s="24">
        <v>0</v>
      </c>
      <c r="E22" s="1" t="s">
        <v>40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>
      <c r="A23" s="1" t="s">
        <v>61</v>
      </c>
      <c r="B23" s="1">
        <v>20042</v>
      </c>
      <c r="C23" s="1" t="s">
        <v>39</v>
      </c>
      <c r="D23" s="24">
        <v>0</v>
      </c>
      <c r="E23" s="1" t="s">
        <v>40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>
      <c r="A24" s="1" t="s">
        <v>62</v>
      </c>
      <c r="B24" s="1">
        <v>20044</v>
      </c>
      <c r="C24" s="1" t="s">
        <v>39</v>
      </c>
      <c r="D24" s="24">
        <v>0</v>
      </c>
      <c r="E24" s="1" t="s">
        <v>40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>
      <c r="A25" s="1" t="s">
        <v>63</v>
      </c>
      <c r="B25" s="1">
        <v>20046</v>
      </c>
      <c r="C25" s="1" t="s">
        <v>39</v>
      </c>
      <c r="D25" s="24">
        <v>0</v>
      </c>
      <c r="E25" s="1" t="s">
        <v>40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>
      <c r="A26" s="1" t="s">
        <v>64</v>
      </c>
      <c r="B26" s="1">
        <v>20048</v>
      </c>
      <c r="C26" s="1" t="s">
        <v>39</v>
      </c>
      <c r="D26" s="24">
        <v>0</v>
      </c>
      <c r="E26" s="1" t="s">
        <v>40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>
      <c r="A27" s="1" t="s">
        <v>65</v>
      </c>
      <c r="B27" s="1">
        <v>20050</v>
      </c>
      <c r="C27" s="1" t="s">
        <v>39</v>
      </c>
      <c r="D27" s="24">
        <v>0</v>
      </c>
      <c r="E27" s="1" t="s">
        <v>40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>
      <c r="A28" s="1" t="s">
        <v>66</v>
      </c>
      <c r="B28" s="1">
        <v>20052</v>
      </c>
      <c r="C28" s="1" t="s">
        <v>39</v>
      </c>
      <c r="D28" s="24">
        <v>0</v>
      </c>
      <c r="E28" s="1" t="s">
        <v>40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>
      <c r="A29" s="1" t="s">
        <v>67</v>
      </c>
      <c r="B29" s="1">
        <v>20054</v>
      </c>
      <c r="C29" s="1" t="s">
        <v>39</v>
      </c>
      <c r="D29" s="24">
        <v>0</v>
      </c>
      <c r="E29" s="1" t="s">
        <v>40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>
      <c r="A30" s="1" t="s">
        <v>68</v>
      </c>
      <c r="B30" s="1">
        <v>20058</v>
      </c>
      <c r="C30" s="1" t="s">
        <v>39</v>
      </c>
      <c r="D30" s="24">
        <v>0</v>
      </c>
      <c r="E30" s="1" t="s">
        <v>40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>
      <c r="A31" s="1" t="s">
        <v>69</v>
      </c>
      <c r="B31" s="1">
        <v>20060</v>
      </c>
      <c r="C31" s="1" t="s">
        <v>39</v>
      </c>
      <c r="D31" s="24">
        <v>0</v>
      </c>
      <c r="E31" s="1" t="s">
        <v>40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>
      <c r="A32" s="1" t="s">
        <v>70</v>
      </c>
      <c r="B32" s="1">
        <v>21000</v>
      </c>
      <c r="C32" s="1" t="s">
        <v>39</v>
      </c>
      <c r="D32" s="24">
        <v>0</v>
      </c>
      <c r="E32" s="1" t="s">
        <v>40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>
      <c r="A33" s="1" t="s">
        <v>71</v>
      </c>
      <c r="B33" s="1">
        <v>21002</v>
      </c>
      <c r="C33" s="1" t="s">
        <v>39</v>
      </c>
      <c r="D33" s="24">
        <v>0</v>
      </c>
      <c r="E33" s="1" t="s">
        <v>40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>
      <c r="A34" s="1" t="s">
        <v>72</v>
      </c>
      <c r="B34" s="1">
        <v>21004</v>
      </c>
      <c r="C34" s="1" t="s">
        <v>39</v>
      </c>
      <c r="D34" s="24">
        <v>0</v>
      </c>
      <c r="E34" s="1" t="s">
        <v>40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>
      <c r="A35" s="1" t="s">
        <v>73</v>
      </c>
      <c r="B35" s="1">
        <v>21006</v>
      </c>
      <c r="C35" s="1" t="s">
        <v>39</v>
      </c>
      <c r="D35" s="24">
        <v>0</v>
      </c>
      <c r="E35" s="1" t="s">
        <v>40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>
      <c r="A36" s="1" t="s">
        <v>74</v>
      </c>
      <c r="B36" s="1">
        <v>21008</v>
      </c>
      <c r="C36" s="1" t="s">
        <v>39</v>
      </c>
      <c r="D36" s="24">
        <v>0</v>
      </c>
      <c r="E36" s="1" t="s">
        <v>40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>
      <c r="A37" s="1" t="s">
        <v>75</v>
      </c>
      <c r="B37" s="1">
        <v>21010</v>
      </c>
      <c r="C37" s="1" t="s">
        <v>39</v>
      </c>
      <c r="D37" s="24">
        <v>0</v>
      </c>
      <c r="E37" s="1" t="s">
        <v>40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>
      <c r="A38" s="1" t="s">
        <v>76</v>
      </c>
      <c r="B38" s="1">
        <v>21012</v>
      </c>
      <c r="C38" s="1" t="s">
        <v>39</v>
      </c>
      <c r="D38" s="24">
        <v>0</v>
      </c>
      <c r="E38" s="1" t="s">
        <v>40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>
      <c r="A39" s="1" t="s">
        <v>77</v>
      </c>
      <c r="B39" s="1">
        <v>21014</v>
      </c>
      <c r="C39" s="1" t="s">
        <v>39</v>
      </c>
      <c r="D39" s="24">
        <v>0</v>
      </c>
      <c r="E39" s="1" t="s">
        <v>40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>
      <c r="A40" s="1" t="s">
        <v>78</v>
      </c>
      <c r="B40" s="1">
        <v>21016</v>
      </c>
      <c r="C40" s="1" t="s">
        <v>39</v>
      </c>
      <c r="D40" s="24">
        <v>0</v>
      </c>
      <c r="E40" s="1" t="s">
        <v>40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1:W40">
    <cfRule type="cellIs" dxfId="1" priority="2" operator="equal">
      <formula>0</formula>
    </cfRule>
  </conditionalFormatting>
  <conditionalFormatting sqref="G1:W40">
    <cfRule type="cellIs" dxfId="0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5" sqref="B5"/>
    </sheetView>
  </sheetViews>
  <sheetFormatPr defaultColWidth="11" defaultRowHeight="1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>
      <c r="A1" s="4" t="s">
        <v>79</v>
      </c>
      <c r="B1" s="4" t="s">
        <v>80</v>
      </c>
      <c r="C1" s="4" t="s">
        <v>81</v>
      </c>
      <c r="E1" s="4" t="s">
        <v>82</v>
      </c>
    </row>
    <row r="2" spans="1:5">
      <c r="A2" s="2"/>
      <c r="B2" s="5" t="s">
        <v>83</v>
      </c>
      <c r="C2" s="2"/>
    </row>
    <row r="3" spans="1:5">
      <c r="A3" s="6">
        <v>1</v>
      </c>
      <c r="B3" s="2" t="s">
        <v>84</v>
      </c>
      <c r="C3" s="2" t="s">
        <v>85</v>
      </c>
      <c r="E3" s="1">
        <v>5</v>
      </c>
    </row>
    <row r="4" spans="1:5">
      <c r="A4" s="6">
        <v>2</v>
      </c>
      <c r="B4" s="2" t="s">
        <v>86</v>
      </c>
      <c r="C4" s="2"/>
      <c r="E4" s="1">
        <v>5</v>
      </c>
    </row>
    <row r="5" spans="1:5">
      <c r="A5" s="6">
        <v>3</v>
      </c>
      <c r="B5" s="2" t="s">
        <v>87</v>
      </c>
      <c r="C5" s="44" t="s">
        <v>88</v>
      </c>
      <c r="E5" s="1">
        <v>10</v>
      </c>
    </row>
    <row r="6" spans="1:5">
      <c r="A6" s="6">
        <v>4</v>
      </c>
      <c r="B6" s="2" t="s">
        <v>89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7" zoomScaleNormal="100" workbookViewId="0">
      <selection activeCell="B6" sqref="B6"/>
    </sheetView>
  </sheetViews>
  <sheetFormatPr defaultColWidth="11" defaultRowHeight="14.1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>
      <c r="A1" s="41" t="s">
        <v>9</v>
      </c>
      <c r="B1" s="40" t="s">
        <v>90</v>
      </c>
    </row>
    <row r="2" spans="1:7" s="40" customFormat="1" ht="21">
      <c r="B2" s="40" t="s">
        <v>91</v>
      </c>
    </row>
    <row r="3" spans="1:7" ht="15">
      <c r="A3" s="1"/>
      <c r="B3" s="1"/>
      <c r="C3" s="1"/>
      <c r="D3" s="1"/>
      <c r="E3" s="1"/>
      <c r="F3" s="1"/>
      <c r="G3" s="1"/>
    </row>
    <row r="4" spans="1:7" ht="24">
      <c r="A4" s="18" t="s">
        <v>92</v>
      </c>
      <c r="B4" s="1"/>
      <c r="C4" s="1"/>
      <c r="D4" s="1"/>
      <c r="E4" s="1"/>
      <c r="F4" s="1"/>
      <c r="G4" s="1"/>
    </row>
    <row r="5" spans="1:7" ht="15">
      <c r="A5" s="20" t="s">
        <v>14</v>
      </c>
      <c r="B5" s="21" t="s">
        <v>20</v>
      </c>
      <c r="C5" s="22" t="s">
        <v>27</v>
      </c>
      <c r="D5" s="21" t="s">
        <v>31</v>
      </c>
      <c r="E5" s="22" t="s">
        <v>33</v>
      </c>
      <c r="F5" s="23" t="s">
        <v>35</v>
      </c>
    </row>
    <row r="6" spans="1:7" ht="15">
      <c r="A6" s="7" t="s">
        <v>38</v>
      </c>
      <c r="B6" s="12">
        <f>VLOOKUP(A6,Dataset!$A$1:$W$40,7,FALSE)</f>
        <v>2.7</v>
      </c>
      <c r="C6" s="12">
        <f>VLOOKUP(A6,Dataset!$A$1:$W$40,14,FALSE)</f>
        <v>7.6</v>
      </c>
      <c r="D6" s="12">
        <f>VLOOKUP(A6,Dataset!$A$1:$W$40,18,FALSE)</f>
        <v>4.2</v>
      </c>
      <c r="E6" s="12">
        <f>VLOOKUP(A6,Dataset!$A$1:$W$40,20,FALSE)</f>
        <v>8.9</v>
      </c>
      <c r="F6" s="8">
        <f>VLOOKUP(A6,Dataset!$A$1:$W$40,22,FALSE)</f>
        <v>4.2</v>
      </c>
    </row>
    <row r="7" spans="1:7" ht="15">
      <c r="A7" s="7" t="s">
        <v>41</v>
      </c>
      <c r="B7" s="12">
        <f>VLOOKUP(A7,Dataset!$A$1:$W$40,7,FALSE)</f>
        <v>2.7</v>
      </c>
      <c r="C7" s="12">
        <f>VLOOKUP(A7,Dataset!$A$1:$W$40,14,FALSE)</f>
        <v>7.6</v>
      </c>
      <c r="D7" s="12">
        <f>VLOOKUP(A7,Dataset!$A$1:$W$40,18,FALSE)</f>
        <v>4.2</v>
      </c>
      <c r="E7" s="12">
        <f>VLOOKUP(A7,Dataset!$A$1:$W$40,20,FALSE)</f>
        <v>8.9</v>
      </c>
      <c r="F7" s="8">
        <f>VLOOKUP(A7,Dataset!$A$1:$W$40,22,FALSE)</f>
        <v>4.2</v>
      </c>
    </row>
    <row r="8" spans="1:7" ht="15">
      <c r="A8" s="7" t="s">
        <v>42</v>
      </c>
      <c r="B8" s="12">
        <f>VLOOKUP(A8,Dataset!$A$1:$W$40,7,FALSE)</f>
        <v>3.6</v>
      </c>
      <c r="C8" s="12">
        <f>VLOOKUP(A8,Dataset!$A$1:$W$40,14,FALSE)</f>
        <v>11.1</v>
      </c>
      <c r="D8" s="12">
        <f>VLOOKUP(A8,Dataset!$A$1:$W$40,18,FALSE)</f>
        <v>5.8</v>
      </c>
      <c r="E8" s="12">
        <f>VLOOKUP(A8,Dataset!$A$1:$W$40,20,FALSE)</f>
        <v>12.2</v>
      </c>
      <c r="F8" s="8">
        <f>VLOOKUP(A8,Dataset!$A$1:$W$40,22,FALSE)</f>
        <v>5.8</v>
      </c>
    </row>
    <row r="9" spans="1:7" ht="15">
      <c r="A9" s="7" t="s">
        <v>43</v>
      </c>
      <c r="B9" s="12">
        <f>VLOOKUP(A9,Dataset!$A$1:$W$40,7,FALSE)</f>
        <v>4.9000000000000004</v>
      </c>
      <c r="C9" s="12">
        <f>VLOOKUP(A9,Dataset!$A$1:$W$40,14,FALSE)</f>
        <v>13.3</v>
      </c>
      <c r="D9" s="12">
        <f>VLOOKUP(A9,Dataset!$A$1:$W$40,18,FALSE)</f>
        <v>8.1</v>
      </c>
      <c r="E9" s="12">
        <f>VLOOKUP(A9,Dataset!$A$1:$W$40,20,FALSE)</f>
        <v>17</v>
      </c>
      <c r="F9" s="8">
        <f>VLOOKUP(A9,Dataset!$A$1:$W$40,22,FALSE)</f>
        <v>8.1</v>
      </c>
    </row>
    <row r="10" spans="1:7" ht="15">
      <c r="A10" s="7" t="s">
        <v>46</v>
      </c>
      <c r="B10" s="12">
        <f>VLOOKUP(A10,Dataset!$A$1:$W$40,7,FALSE)</f>
        <v>9.4</v>
      </c>
      <c r="C10" s="12">
        <f>VLOOKUP(A10,Dataset!$A$1:$W$40,14,FALSE)</f>
        <v>28.3</v>
      </c>
      <c r="D10" s="12">
        <f>VLOOKUP(A10,Dataset!$A$1:$W$40,18,FALSE)</f>
        <v>16.100000000000001</v>
      </c>
      <c r="E10" s="12">
        <f>VLOOKUP(A10,Dataset!$A$1:$W$40,20,FALSE)</f>
        <v>32.799999999999997</v>
      </c>
      <c r="F10" s="8">
        <f>VLOOKUP(A10,Dataset!$A$1:$W$40,22,FALSE)</f>
        <v>16.100000000000001</v>
      </c>
    </row>
    <row r="11" spans="1:7" ht="15">
      <c r="A11" s="7" t="s">
        <v>47</v>
      </c>
      <c r="B11" s="12">
        <f>VLOOKUP(A11,Dataset!$A$1:$W$40,7,FALSE)</f>
        <v>11.6</v>
      </c>
      <c r="C11" s="12">
        <f>VLOOKUP(A11,Dataset!$A$1:$W$40,14,FALSE)</f>
        <v>35.200000000000003</v>
      </c>
      <c r="D11" s="12">
        <f>VLOOKUP(A11,Dataset!$A$1:$W$40,18,FALSE)</f>
        <v>21.3</v>
      </c>
      <c r="E11" s="12">
        <f>VLOOKUP(A11,Dataset!$A$1:$W$40,20,FALSE)</f>
        <v>43</v>
      </c>
      <c r="F11" s="8">
        <f>VLOOKUP(A11,Dataset!$A$1:$W$40,22,FALSE)</f>
        <v>21.3</v>
      </c>
    </row>
    <row r="12" spans="1:7" ht="15">
      <c r="A12" s="7" t="s">
        <v>49</v>
      </c>
      <c r="B12" s="12">
        <f>VLOOKUP(A12,Dataset!$A$1:$W$40,7,FALSE)</f>
        <v>18.399999999999999</v>
      </c>
      <c r="C12" s="12">
        <f>VLOOKUP(A12,Dataset!$A$1:$W$40,14,FALSE)</f>
        <v>55.6</v>
      </c>
      <c r="D12" s="12">
        <f>VLOOKUP(A12,Dataset!$A$1:$W$40,18,FALSE)</f>
        <v>33.799999999999997</v>
      </c>
      <c r="E12" s="12">
        <f>VLOOKUP(A12,Dataset!$A$1:$W$40,20,FALSE)</f>
        <v>67.900000000000006</v>
      </c>
      <c r="F12" s="8">
        <f>VLOOKUP(A12,Dataset!$A$1:$W$40,22,FALSE)</f>
        <v>33.799999999999997</v>
      </c>
    </row>
    <row r="13" spans="1:7" ht="15">
      <c r="A13" s="7" t="s">
        <v>50</v>
      </c>
      <c r="B13" s="12">
        <f>VLOOKUP(A13,Dataset!$A$1:$W$40,7,FALSE)</f>
        <v>0</v>
      </c>
      <c r="C13" s="12">
        <f>VLOOKUP(A13,Dataset!$A$1:$W$40,14,FALSE)</f>
        <v>0</v>
      </c>
      <c r="D13" s="12">
        <f>VLOOKUP(A13,Dataset!$A$1:$W$40,18,FALSE)</f>
        <v>0</v>
      </c>
      <c r="E13" s="12">
        <f>VLOOKUP(A13,Dataset!$A$1:$W$40,20,FALSE)</f>
        <v>0</v>
      </c>
      <c r="F13" s="8">
        <f>VLOOKUP(A13,Dataset!$A$1:$W$40,22,FALSE)</f>
        <v>0</v>
      </c>
    </row>
    <row r="14" spans="1:7" ht="15">
      <c r="A14" s="7" t="s">
        <v>51</v>
      </c>
      <c r="B14" s="12">
        <f>VLOOKUP(A14,Dataset!$A$1:$W$40,7,FALSE)</f>
        <v>21.9</v>
      </c>
      <c r="C14" s="12">
        <f>VLOOKUP(A14,Dataset!$A$1:$W$40,14,FALSE)</f>
        <v>61.5</v>
      </c>
      <c r="D14" s="12">
        <f>VLOOKUP(A14,Dataset!$A$1:$W$40,18,FALSE)</f>
        <v>40.1</v>
      </c>
      <c r="E14" s="12">
        <f>VLOOKUP(A14,Dataset!$A$1:$W$40,20,FALSE)</f>
        <v>76.599999999999994</v>
      </c>
      <c r="F14" s="8">
        <f>VLOOKUP(A14,Dataset!$A$1:$W$40,22,FALSE)</f>
        <v>40.1</v>
      </c>
    </row>
    <row r="15" spans="1:7" ht="15">
      <c r="A15" s="7" t="s">
        <v>53</v>
      </c>
      <c r="B15" s="12">
        <f>VLOOKUP(A15,Dataset!$A$1:$W$40,7,FALSE)</f>
        <v>26.8</v>
      </c>
      <c r="C15" s="12">
        <f>VLOOKUP(A15,Dataset!$A$1:$W$40,14,FALSE)</f>
        <v>79.599999999999994</v>
      </c>
      <c r="D15" s="12">
        <f>VLOOKUP(A15,Dataset!$A$1:$W$40,18,FALSE)</f>
        <v>47.9</v>
      </c>
      <c r="E15" s="12">
        <f>VLOOKUP(A15,Dataset!$A$1:$W$40,20,FALSE)</f>
        <v>96.8</v>
      </c>
      <c r="F15" s="8">
        <f>VLOOKUP(A15,Dataset!$A$1:$W$40,22,FALSE)</f>
        <v>47.9</v>
      </c>
    </row>
    <row r="16" spans="1:7" ht="15">
      <c r="A16" s="7" t="s">
        <v>55</v>
      </c>
      <c r="B16" s="12">
        <f>VLOOKUP(A16,Dataset!$A$1:$W$40,7,FALSE)</f>
        <v>28.5</v>
      </c>
      <c r="C16" s="12">
        <f>VLOOKUP(A16,Dataset!$A$1:$W$40,14,FALSE)</f>
        <v>85.4</v>
      </c>
      <c r="D16" s="12">
        <f>VLOOKUP(A16,Dataset!$A$1:$W$40,18,FALSE)</f>
        <v>52.3</v>
      </c>
      <c r="E16" s="12">
        <f>VLOOKUP(A16,Dataset!$A$1:$W$40,20,FALSE)</f>
        <v>106.1</v>
      </c>
      <c r="F16" s="8">
        <f>VLOOKUP(A16,Dataset!$A$1:$W$40,22,FALSE)</f>
        <v>52.3</v>
      </c>
    </row>
    <row r="17" spans="1:6" ht="15">
      <c r="A17" s="7" t="s">
        <v>57</v>
      </c>
      <c r="B17" s="12">
        <f>VLOOKUP(A17,Dataset!$A$1:$W$40,7,FALSE)</f>
        <v>30.7</v>
      </c>
      <c r="C17" s="12">
        <f>VLOOKUP(A17,Dataset!$A$1:$W$40,14,FALSE)</f>
        <v>92.1</v>
      </c>
      <c r="D17" s="12">
        <f>VLOOKUP(A17,Dataset!$A$1:$W$40,18,FALSE)</f>
        <v>57</v>
      </c>
      <c r="E17" s="12">
        <f>VLOOKUP(A17,Dataset!$A$1:$W$40,20,FALSE)</f>
        <v>115.1</v>
      </c>
      <c r="F17" s="8">
        <f>VLOOKUP(A17,Dataset!$A$1:$W$40,22,FALSE)</f>
        <v>57</v>
      </c>
    </row>
    <row r="18" spans="1:6" ht="15">
      <c r="A18" s="7" t="s">
        <v>58</v>
      </c>
      <c r="B18" s="12">
        <f>VLOOKUP(A18,Dataset!$A$1:$W$40,7,FALSE)</f>
        <v>33.799999999999997</v>
      </c>
      <c r="C18" s="12">
        <f>VLOOKUP(A18,Dataset!$A$1:$W$40,14,FALSE)</f>
        <v>101.3</v>
      </c>
      <c r="D18" s="12">
        <f>VLOOKUP(A18,Dataset!$A$1:$W$40,18,FALSE)</f>
        <v>61.4</v>
      </c>
      <c r="E18" s="12">
        <f>VLOOKUP(A18,Dataset!$A$1:$W$40,20,FALSE)</f>
        <v>124.4</v>
      </c>
      <c r="F18" s="8">
        <f>VLOOKUP(A18,Dataset!$A$1:$W$40,22,FALSE)</f>
        <v>61.4</v>
      </c>
    </row>
    <row r="19" spans="1:6" ht="15">
      <c r="A19" s="7" t="s">
        <v>59</v>
      </c>
      <c r="B19" s="12">
        <f>VLOOKUP(A19,Dataset!$A$1:$W$40,7,FALSE)</f>
        <v>34.700000000000003</v>
      </c>
      <c r="C19" s="12">
        <f>VLOOKUP(A19,Dataset!$A$1:$W$40,14,FALSE)</f>
        <v>106.1</v>
      </c>
      <c r="D19" s="12">
        <f>VLOOKUP(A19,Dataset!$A$1:$W$40,18,FALSE)</f>
        <v>63.6</v>
      </c>
      <c r="E19" s="12">
        <f>VLOOKUP(A19,Dataset!$A$1:$W$40,20,FALSE)</f>
        <v>128.6</v>
      </c>
      <c r="F19" s="8">
        <f>VLOOKUP(A19,Dataset!$A$1:$W$40,22,FALSE)</f>
        <v>63.6</v>
      </c>
    </row>
    <row r="20" spans="1:6" ht="15">
      <c r="A20" s="7" t="s">
        <v>64</v>
      </c>
      <c r="B20" s="12">
        <f>VLOOKUP(A20,Dataset!$A$1:$W$40,7,FALSE)</f>
        <v>0</v>
      </c>
      <c r="C20" s="12">
        <f>VLOOKUP(A20,Dataset!$A$1:$W$40,14,FALSE)</f>
        <v>0</v>
      </c>
      <c r="D20" s="12">
        <f>VLOOKUP(A20,Dataset!$A$1:$W$40,18,FALSE)</f>
        <v>0</v>
      </c>
      <c r="E20" s="12">
        <f>VLOOKUP(A20,Dataset!$A$1:$W$40,20,FALSE)</f>
        <v>0</v>
      </c>
      <c r="F20" s="8">
        <f>VLOOKUP(A20,Dataset!$A$1:$W$40,22,FALSE)</f>
        <v>0</v>
      </c>
    </row>
    <row r="21" spans="1:6" ht="15">
      <c r="A21" s="7" t="s">
        <v>65</v>
      </c>
      <c r="B21" s="12">
        <f>VLOOKUP(A21,Dataset!$A$1:$W$40,7,FALSE)</f>
        <v>41.3</v>
      </c>
      <c r="C21" s="12">
        <f>VLOOKUP(A21,Dataset!$A$1:$W$40,14,FALSE)</f>
        <v>124.4</v>
      </c>
      <c r="D21" s="12">
        <f>VLOOKUP(A21,Dataset!$A$1:$W$40,18,FALSE)</f>
        <v>75</v>
      </c>
      <c r="E21" s="12">
        <f>VLOOKUP(A21,Dataset!$A$1:$W$40,20,FALSE)</f>
        <v>151.5</v>
      </c>
      <c r="F21" s="8">
        <f>VLOOKUP(A21,Dataset!$A$1:$W$40,22,FALSE)</f>
        <v>75</v>
      </c>
    </row>
    <row r="22" spans="1:6" ht="15">
      <c r="A22" s="7" t="s">
        <v>68</v>
      </c>
      <c r="B22" s="12">
        <f>VLOOKUP(A22,Dataset!$A$1:$W$40,7,FALSE)</f>
        <v>-1</v>
      </c>
      <c r="C22" s="12">
        <f>VLOOKUP(A22,Dataset!$A$1:$W$40,14,FALSE)</f>
        <v>-1</v>
      </c>
      <c r="D22" s="12">
        <f>VLOOKUP(A22,Dataset!$A$1:$W$40,18,FALSE)</f>
        <v>-1</v>
      </c>
      <c r="E22" s="12">
        <f>VLOOKUP(A22,Dataset!$A$1:$W$40,20,FALSE)</f>
        <v>-1</v>
      </c>
      <c r="F22" s="8">
        <f>VLOOKUP(A22,Dataset!$A$1:$W$40,22,FALSE)</f>
        <v>-1</v>
      </c>
    </row>
    <row r="23" spans="1:6" ht="15">
      <c r="A23" s="7" t="s">
        <v>69</v>
      </c>
      <c r="B23" s="12">
        <f>VLOOKUP(A23,Dataset!$A$1:$W$40,7,FALSE)</f>
        <v>45</v>
      </c>
      <c r="C23" s="12">
        <f>VLOOKUP(A23,Dataset!$A$1:$W$40,14,FALSE)</f>
        <v>133.4</v>
      </c>
      <c r="D23" s="12">
        <f>VLOOKUP(A23,Dataset!$A$1:$W$40,18,FALSE)</f>
        <v>79.400000000000006</v>
      </c>
      <c r="E23" s="12">
        <f>VLOOKUP(A23,Dataset!$A$1:$W$40,20,FALSE)</f>
        <v>160.9</v>
      </c>
      <c r="F23" s="8">
        <f>VLOOKUP(A23,Dataset!$A$1:$W$40,22,FALSE)</f>
        <v>79.400000000000006</v>
      </c>
    </row>
    <row r="24" spans="1:6" ht="15">
      <c r="A24" s="7" t="s">
        <v>70</v>
      </c>
      <c r="B24" s="12">
        <f>VLOOKUP(A24,Dataset!$A$1:$W$40,7,FALSE)</f>
        <v>-1</v>
      </c>
      <c r="C24" s="12">
        <f>VLOOKUP(A24,Dataset!$A$1:$W$40,14,FALSE)</f>
        <v>-1</v>
      </c>
      <c r="D24" s="12">
        <f>VLOOKUP(A24,Dataset!$A$1:$W$40,18,FALSE)</f>
        <v>-1</v>
      </c>
      <c r="E24" s="12">
        <f>VLOOKUP(A24,Dataset!$A$1:$W$40,20,FALSE)</f>
        <v>-1</v>
      </c>
      <c r="F24" s="8">
        <f>VLOOKUP(A24,Dataset!$A$1:$W$40,22,FALSE)</f>
        <v>-1</v>
      </c>
    </row>
    <row r="25" spans="1:6" ht="15">
      <c r="A25" s="7" t="s">
        <v>72</v>
      </c>
      <c r="B25" s="12">
        <f>VLOOKUP(A25,Dataset!$A$1:$W$40,7,FALSE)</f>
        <v>43.3</v>
      </c>
      <c r="C25" s="12">
        <f>VLOOKUP(A25,Dataset!$A$1:$W$40,14,FALSE)</f>
        <v>128.6</v>
      </c>
      <c r="D25" s="12">
        <f>VLOOKUP(A25,Dataset!$A$1:$W$40,18,FALSE)</f>
        <v>79.400000000000006</v>
      </c>
      <c r="E25" s="12">
        <f>VLOOKUP(A25,Dataset!$A$1:$W$40,20,FALSE)</f>
        <v>160.9</v>
      </c>
      <c r="F25" s="8">
        <f>VLOOKUP(A25,Dataset!$A$1:$W$40,22,FALSE)</f>
        <v>79.400000000000006</v>
      </c>
    </row>
    <row r="26" spans="1:6" ht="15">
      <c r="A26" s="7" t="s">
        <v>76</v>
      </c>
      <c r="B26" s="12">
        <f>VLOOKUP(A26,Dataset!$A$1:$W$40,7,FALSE)</f>
        <v>49.1</v>
      </c>
      <c r="C26" s="12">
        <f>VLOOKUP(A26,Dataset!$A$1:$W$40,14,FALSE)</f>
        <v>146.80000000000001</v>
      </c>
      <c r="D26" s="12">
        <f>VLOOKUP(A26,Dataset!$A$1:$W$40,18,FALSE)</f>
        <v>90.9</v>
      </c>
      <c r="E26" s="12">
        <f>VLOOKUP(A26,Dataset!$A$1:$W$40,20,FALSE)</f>
        <v>183.5</v>
      </c>
      <c r="F26" s="8">
        <f>VLOOKUP(A26,Dataset!$A$1:$W$40,22,FALSE)</f>
        <v>90.9</v>
      </c>
    </row>
    <row r="27" spans="1:6" ht="15">
      <c r="A27" s="7" t="s">
        <v>78</v>
      </c>
      <c r="B27" s="12">
        <f>VLOOKUP(A27,Dataset!$A$1:$W$40,7,FALSE)</f>
        <v>51.8</v>
      </c>
      <c r="C27" s="12">
        <f>VLOOKUP(A27,Dataset!$A$1:$W$40,14,FALSE)</f>
        <v>156.4</v>
      </c>
      <c r="D27" s="12">
        <f>VLOOKUP(A27,Dataset!$A$1:$W$40,18,FALSE)</f>
        <v>93.1</v>
      </c>
      <c r="E27" s="12">
        <f>VLOOKUP(A27,Dataset!$A$1:$W$40,20,FALSE)</f>
        <v>188.1</v>
      </c>
      <c r="F27" s="8">
        <f>VLOOKUP(A27,Dataset!$A$1:$W$40,22,FALSE)</f>
        <v>93.1</v>
      </c>
    </row>
    <row r="28" spans="1:6" ht="15">
      <c r="A28" s="19" t="s">
        <v>93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5">
      <c r="A29" s="19" t="s">
        <v>94</v>
      </c>
      <c r="B29" s="31">
        <f>MAX(B6:B27)</f>
        <v>51.8</v>
      </c>
      <c r="C29" s="31">
        <f>MAX(C6:C27)</f>
        <v>156.4</v>
      </c>
      <c r="D29" s="31">
        <f>MAX(D6:D27)</f>
        <v>93.1</v>
      </c>
      <c r="E29" s="31">
        <f>MAX(E6:E27)</f>
        <v>188.1</v>
      </c>
      <c r="F29" s="31">
        <f>MAX(F6:F27)</f>
        <v>93.1</v>
      </c>
    </row>
    <row r="30" spans="1:6" ht="15">
      <c r="A30" s="19" t="s">
        <v>95</v>
      </c>
      <c r="B30" s="31">
        <f>AVERAGE(B6:B27)</f>
        <v>20.827272727272728</v>
      </c>
      <c r="C30" s="31">
        <f>AVERAGE(C6:C27)</f>
        <v>62.377272727272725</v>
      </c>
      <c r="D30" s="31">
        <f>AVERAGE(D6:D27)</f>
        <v>37.800000000000004</v>
      </c>
      <c r="E30" s="31">
        <f>AVERAGE(E6:E27)</f>
        <v>76.418181818181822</v>
      </c>
      <c r="F30" s="31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7" sqref="B7"/>
    </sheetView>
  </sheetViews>
  <sheetFormatPr defaultColWidth="11" defaultRowHeight="15"/>
  <cols>
    <col min="1" max="1" width="39.83203125" style="1" bestFit="1" customWidth="1"/>
    <col min="2" max="16384" width="11" style="1"/>
  </cols>
  <sheetData>
    <row r="1" spans="1:10" s="40" customFormat="1" ht="21">
      <c r="A1" s="41" t="s">
        <v>10</v>
      </c>
      <c r="B1" s="40" t="s">
        <v>96</v>
      </c>
    </row>
    <row r="2" spans="1:10" customFormat="1" ht="12.95"/>
    <row r="3" spans="1:10" s="2" customFormat="1">
      <c r="B3" s="1"/>
    </row>
    <row r="4" spans="1:10" s="2" customFormat="1">
      <c r="B4" s="1" t="s">
        <v>97</v>
      </c>
    </row>
    <row r="5" spans="1:10" ht="18.75">
      <c r="A5" s="42" t="s">
        <v>98</v>
      </c>
      <c r="B5" s="47" t="s">
        <v>99</v>
      </c>
    </row>
    <row r="6" spans="1:10" ht="18.95">
      <c r="A6" s="42" t="s">
        <v>100</v>
      </c>
      <c r="B6" s="39" t="s">
        <v>101</v>
      </c>
    </row>
    <row r="7" spans="1:10" ht="18.95">
      <c r="A7" s="42"/>
      <c r="B7" s="39" t="s">
        <v>102</v>
      </c>
    </row>
    <row r="9" spans="1:10" ht="24">
      <c r="A9" s="18" t="s">
        <v>103</v>
      </c>
      <c r="I9" s="2"/>
      <c r="J9" s="2"/>
    </row>
    <row r="10" spans="1:10">
      <c r="A10" s="33" t="s">
        <v>104</v>
      </c>
      <c r="B10" s="17" t="s">
        <v>105</v>
      </c>
      <c r="C10" s="17" t="s">
        <v>106</v>
      </c>
      <c r="D10" s="17" t="s">
        <v>107</v>
      </c>
      <c r="E10" s="17" t="s">
        <v>108</v>
      </c>
      <c r="F10" s="17" t="s">
        <v>109</v>
      </c>
      <c r="I10" s="2"/>
      <c r="J10" s="2"/>
    </row>
    <row r="11" spans="1:10">
      <c r="A11" s="9" t="s">
        <v>110</v>
      </c>
      <c r="B11" s="13">
        <v>20000</v>
      </c>
      <c r="C11" s="13" t="s">
        <v>39</v>
      </c>
      <c r="D11" s="13">
        <v>0</v>
      </c>
      <c r="E11" s="11" t="s">
        <v>40</v>
      </c>
      <c r="F11" s="11">
        <v>24</v>
      </c>
      <c r="I11" s="2"/>
      <c r="J11" s="2"/>
    </row>
    <row r="14" spans="1:10" ht="24">
      <c r="A14" s="18" t="s">
        <v>92</v>
      </c>
    </row>
    <row r="15" spans="1:10">
      <c r="A15" s="14" t="s">
        <v>111</v>
      </c>
      <c r="B15" s="17" t="s">
        <v>105</v>
      </c>
      <c r="C15" s="15" t="s">
        <v>106</v>
      </c>
      <c r="D15" s="17" t="s">
        <v>107</v>
      </c>
      <c r="E15" s="15" t="s">
        <v>108</v>
      </c>
      <c r="F15" s="17" t="s">
        <v>109</v>
      </c>
    </row>
    <row r="16" spans="1:10">
      <c r="A16" s="7" t="s">
        <v>110</v>
      </c>
      <c r="B16" s="12" t="str" cm="1">
        <f t="array" ref="B16:F16">_xlfn.TEXTSPLIT(A16, "-")</f>
        <v>20000</v>
      </c>
      <c r="C16" s="1" t="str">
        <v>Monday</v>
      </c>
      <c r="D16" s="12" t="str">
        <v>0</v>
      </c>
      <c r="E16" s="1" t="str">
        <v>Sunday</v>
      </c>
      <c r="F16" s="12" t="str">
        <v>24</v>
      </c>
    </row>
    <row r="17" spans="1:6">
      <c r="A17" s="7" t="s">
        <v>112</v>
      </c>
      <c r="B17" s="12" t="str" cm="1">
        <f t="array" ref="B17:F17">_xlfn.TEXTSPLIT(A17, "-")</f>
        <v>20002</v>
      </c>
      <c r="C17" s="1" t="str">
        <v>Monday</v>
      </c>
      <c r="D17" s="12" t="str">
        <v>0</v>
      </c>
      <c r="E17" s="1" t="str">
        <v>Sunday</v>
      </c>
      <c r="F17" s="12" t="str">
        <v>24</v>
      </c>
    </row>
    <row r="18" spans="1:6">
      <c r="A18" s="7" t="s">
        <v>113</v>
      </c>
      <c r="B18" s="12" t="str" cm="1">
        <f t="array" ref="B18:F18">_xlfn.TEXTSPLIT(A18, "-")</f>
        <v>20004</v>
      </c>
      <c r="C18" s="1" t="str">
        <v>Monday</v>
      </c>
      <c r="D18" s="12" t="str">
        <v>0</v>
      </c>
      <c r="E18" s="1" t="str">
        <v>Sunday</v>
      </c>
      <c r="F18" s="12" t="str">
        <v>24</v>
      </c>
    </row>
    <row r="19" spans="1:6">
      <c r="A19" s="7" t="s">
        <v>114</v>
      </c>
      <c r="B19" s="12" t="str" cm="1">
        <f t="array" ref="B19:F19">_xlfn.TEXTSPLIT(A19, "-")</f>
        <v>20006</v>
      </c>
      <c r="C19" s="1" t="str">
        <v>Monday</v>
      </c>
      <c r="D19" s="12" t="str">
        <v>0</v>
      </c>
      <c r="E19" s="1" t="str">
        <v>Sunday</v>
      </c>
      <c r="F19" s="12" t="str">
        <v>24</v>
      </c>
    </row>
    <row r="20" spans="1:6">
      <c r="A20" s="7" t="s">
        <v>115</v>
      </c>
      <c r="B20" s="12" t="str" cm="1">
        <f t="array" ref="B20:F20">_xlfn.TEXTSPLIT(A20, "-")</f>
        <v>20008</v>
      </c>
      <c r="C20" s="1" t="str">
        <v>Monday</v>
      </c>
      <c r="D20" s="12" t="str">
        <v>0</v>
      </c>
      <c r="E20" s="1" t="str">
        <v>Sunday</v>
      </c>
      <c r="F20" s="12" t="str">
        <v>24</v>
      </c>
    </row>
    <row r="21" spans="1:6">
      <c r="A21" s="7" t="s">
        <v>116</v>
      </c>
      <c r="B21" s="12" t="str" cm="1">
        <f t="array" ref="B21:F21">_xlfn.TEXTSPLIT(A21, "-")</f>
        <v>20010</v>
      </c>
      <c r="C21" s="1" t="str">
        <v>Monday</v>
      </c>
      <c r="D21" s="12" t="str">
        <v>0</v>
      </c>
      <c r="E21" s="1" t="str">
        <v>Sunday</v>
      </c>
      <c r="F21" s="12" t="str">
        <v>24</v>
      </c>
    </row>
    <row r="22" spans="1:6">
      <c r="A22" s="7" t="s">
        <v>117</v>
      </c>
      <c r="B22" s="12" t="str" cm="1">
        <f t="array" ref="B22:F22">_xlfn.TEXTSPLIT(A22, "-")</f>
        <v>20012</v>
      </c>
      <c r="C22" s="1" t="str">
        <v>Monday</v>
      </c>
      <c r="D22" s="12" t="str">
        <v>0</v>
      </c>
      <c r="E22" s="1" t="str">
        <v>Sunday</v>
      </c>
      <c r="F22" s="12" t="str">
        <v>24</v>
      </c>
    </row>
    <row r="23" spans="1:6">
      <c r="A23" s="7" t="s">
        <v>118</v>
      </c>
      <c r="B23" s="12" t="str" cm="1">
        <f t="array" ref="B23:F23">_xlfn.TEXTSPLIT(A23, "-")</f>
        <v>20014</v>
      </c>
      <c r="C23" s="1" t="str">
        <v>Monday</v>
      </c>
      <c r="D23" s="12" t="str">
        <v>0</v>
      </c>
      <c r="E23" s="1" t="str">
        <v>Sunday</v>
      </c>
      <c r="F23" s="12" t="str">
        <v>24</v>
      </c>
    </row>
    <row r="24" spans="1:6">
      <c r="A24" s="7" t="s">
        <v>119</v>
      </c>
      <c r="B24" s="12" t="str" cm="1">
        <f t="array" ref="B24:F24">_xlfn.TEXTSPLIT(A24, "-")</f>
        <v>20016</v>
      </c>
      <c r="C24" s="1" t="str">
        <v>Monday</v>
      </c>
      <c r="D24" s="12" t="str">
        <v>0</v>
      </c>
      <c r="E24" s="1" t="str">
        <v>Sunday</v>
      </c>
      <c r="F24" s="12" t="str">
        <v>24</v>
      </c>
    </row>
    <row r="25" spans="1:6">
      <c r="A25" s="7" t="s">
        <v>120</v>
      </c>
      <c r="B25" s="12" t="str" cm="1">
        <f t="array" ref="B25:F25">_xlfn.TEXTSPLIT(A25, "-")</f>
        <v>20018</v>
      </c>
      <c r="C25" s="1" t="str">
        <v>Monday</v>
      </c>
      <c r="D25" s="12" t="str">
        <v>0</v>
      </c>
      <c r="E25" s="1" t="str">
        <v>Sunday</v>
      </c>
      <c r="F25" s="12" t="str">
        <v>24</v>
      </c>
    </row>
    <row r="26" spans="1:6">
      <c r="A26" s="7" t="s">
        <v>121</v>
      </c>
      <c r="B26" s="12" t="str" cm="1">
        <f t="array" ref="B26:F26">_xlfn.TEXTSPLIT(A26, "-")</f>
        <v>20020</v>
      </c>
      <c r="C26" s="1" t="str">
        <v>Monday</v>
      </c>
      <c r="D26" s="12" t="str">
        <v>0</v>
      </c>
      <c r="E26" s="1" t="str">
        <v>Sunday</v>
      </c>
      <c r="F26" s="12" t="str">
        <v>24</v>
      </c>
    </row>
    <row r="27" spans="1:6">
      <c r="A27" s="7" t="s">
        <v>122</v>
      </c>
      <c r="B27" s="12" t="str" cm="1">
        <f t="array" ref="B27:F27">_xlfn.TEXTSPLIT(A27, "-")</f>
        <v>20022</v>
      </c>
      <c r="C27" s="1" t="str">
        <v>Monday</v>
      </c>
      <c r="D27" s="12" t="str">
        <v>0</v>
      </c>
      <c r="E27" s="1" t="str">
        <v>Sunday</v>
      </c>
      <c r="F27" s="12" t="str">
        <v>24</v>
      </c>
    </row>
    <row r="28" spans="1:6">
      <c r="A28" s="7" t="s">
        <v>123</v>
      </c>
      <c r="B28" s="12" t="str" cm="1">
        <f t="array" ref="B28:F28">_xlfn.TEXTSPLIT(A28, "-")</f>
        <v>20024</v>
      </c>
      <c r="C28" s="1" t="str">
        <v>Monday</v>
      </c>
      <c r="D28" s="12" t="str">
        <v>0</v>
      </c>
      <c r="E28" s="1" t="str">
        <v>Sunday</v>
      </c>
      <c r="F28" s="12" t="str">
        <v>24</v>
      </c>
    </row>
    <row r="29" spans="1:6">
      <c r="A29" s="7" t="s">
        <v>124</v>
      </c>
      <c r="B29" s="12" t="str" cm="1">
        <f t="array" ref="B29:F29">_xlfn.TEXTSPLIT(A29, "-")</f>
        <v>20026</v>
      </c>
      <c r="C29" s="1" t="str">
        <v>Monday</v>
      </c>
      <c r="D29" s="12" t="str">
        <v>0</v>
      </c>
      <c r="E29" s="1" t="str">
        <v>Sunday</v>
      </c>
      <c r="F29" s="12" t="str">
        <v>24</v>
      </c>
    </row>
    <row r="30" spans="1:6">
      <c r="A30" s="7" t="s">
        <v>125</v>
      </c>
      <c r="B30" s="12" t="str" cm="1">
        <f t="array" ref="B30:F30">_xlfn.TEXTSPLIT(A30, "-")</f>
        <v>20028</v>
      </c>
      <c r="C30" s="1" t="str">
        <v>Monday</v>
      </c>
      <c r="D30" s="12" t="str">
        <v>0</v>
      </c>
      <c r="E30" s="1" t="str">
        <v>Sunday</v>
      </c>
      <c r="F30" s="12" t="str">
        <v>24</v>
      </c>
    </row>
    <row r="31" spans="1:6">
      <c r="A31" s="7" t="s">
        <v>126</v>
      </c>
      <c r="B31" s="12" t="str" cm="1">
        <f t="array" ref="B31:F31">_xlfn.TEXTSPLIT(A31, "-")</f>
        <v>20030</v>
      </c>
      <c r="C31" s="1" t="str">
        <v>Monday</v>
      </c>
      <c r="D31" s="12" t="str">
        <v>0</v>
      </c>
      <c r="E31" s="1" t="str">
        <v>Sunday</v>
      </c>
      <c r="F31" s="12" t="str">
        <v>24</v>
      </c>
    </row>
    <row r="32" spans="1:6">
      <c r="A32" s="7" t="s">
        <v>127</v>
      </c>
      <c r="B32" s="12" t="str" cm="1">
        <f t="array" ref="B32:F32">_xlfn.TEXTSPLIT(A32, "-")</f>
        <v>20032</v>
      </c>
      <c r="C32" s="1" t="str">
        <v>Monday</v>
      </c>
      <c r="D32" s="12" t="str">
        <v>0</v>
      </c>
      <c r="E32" s="1" t="str">
        <v>Sunday</v>
      </c>
      <c r="F32" s="12" t="str">
        <v>24</v>
      </c>
    </row>
    <row r="33" spans="1:6">
      <c r="A33" s="7" t="s">
        <v>128</v>
      </c>
      <c r="B33" s="12" t="str" cm="1">
        <f t="array" ref="B33:F33">_xlfn.TEXTSPLIT(A33, "-")</f>
        <v>20034</v>
      </c>
      <c r="C33" s="1" t="str">
        <v>Monday</v>
      </c>
      <c r="D33" s="12" t="str">
        <v>0</v>
      </c>
      <c r="E33" s="1" t="str">
        <v>Sunday</v>
      </c>
      <c r="F33" s="12" t="str">
        <v>24</v>
      </c>
    </row>
    <row r="34" spans="1:6">
      <c r="A34" s="7" t="s">
        <v>129</v>
      </c>
      <c r="B34" s="12" t="str" cm="1">
        <f t="array" ref="B34:F34">_xlfn.TEXTSPLIT(A34, "-")</f>
        <v>20036</v>
      </c>
      <c r="C34" s="1" t="str">
        <v>Monday</v>
      </c>
      <c r="D34" s="12" t="str">
        <v>0</v>
      </c>
      <c r="E34" s="1" t="str">
        <v>Sunday</v>
      </c>
      <c r="F34" s="12" t="str">
        <v>24</v>
      </c>
    </row>
    <row r="35" spans="1:6">
      <c r="A35" s="7" t="s">
        <v>130</v>
      </c>
      <c r="B35" s="12" t="str" cm="1">
        <f t="array" ref="B35:F35">_xlfn.TEXTSPLIT(A35, "-")</f>
        <v>20038</v>
      </c>
      <c r="C35" s="1" t="str">
        <v>Monday</v>
      </c>
      <c r="D35" s="12" t="str">
        <v>0</v>
      </c>
      <c r="E35" s="1" t="str">
        <v>Sunday</v>
      </c>
      <c r="F35" s="12" t="str">
        <v>24</v>
      </c>
    </row>
    <row r="36" spans="1:6">
      <c r="A36" s="7" t="s">
        <v>131</v>
      </c>
      <c r="B36" s="12" t="str" cm="1">
        <f t="array" ref="B36:F36">_xlfn.TEXTSPLIT(A36, "-")</f>
        <v>20040</v>
      </c>
      <c r="C36" s="1" t="str">
        <v>Monday</v>
      </c>
      <c r="D36" s="12" t="str">
        <v>0</v>
      </c>
      <c r="E36" s="1" t="str">
        <v>Sunday</v>
      </c>
      <c r="F36" s="12" t="str">
        <v>24</v>
      </c>
    </row>
    <row r="37" spans="1:6">
      <c r="A37" s="7" t="s">
        <v>132</v>
      </c>
      <c r="B37" s="12" t="str" cm="1">
        <f t="array" ref="B37:F37">_xlfn.TEXTSPLIT(A37, "-")</f>
        <v>20042</v>
      </c>
      <c r="C37" s="1" t="str">
        <v>Monday</v>
      </c>
      <c r="D37" s="12" t="str">
        <v>0</v>
      </c>
      <c r="E37" s="1" t="str">
        <v>Sunday</v>
      </c>
      <c r="F37" s="12" t="str">
        <v>24</v>
      </c>
    </row>
    <row r="38" spans="1:6">
      <c r="A38" s="7" t="s">
        <v>133</v>
      </c>
      <c r="B38" s="12" t="str" cm="1">
        <f t="array" ref="B38:F38">_xlfn.TEXTSPLIT(A38, "-")</f>
        <v>20044</v>
      </c>
      <c r="C38" s="1" t="str">
        <v>Monday</v>
      </c>
      <c r="D38" s="12" t="str">
        <v>0</v>
      </c>
      <c r="E38" s="1" t="str">
        <v>Sunday</v>
      </c>
      <c r="F38" s="12" t="str">
        <v>24</v>
      </c>
    </row>
    <row r="39" spans="1:6">
      <c r="A39" s="7" t="s">
        <v>134</v>
      </c>
      <c r="B39" s="12" t="str" cm="1">
        <f t="array" ref="B39:F39">_xlfn.TEXTSPLIT(A39, "-")</f>
        <v>20046</v>
      </c>
      <c r="C39" s="1" t="str">
        <v>Monday</v>
      </c>
      <c r="D39" s="12" t="str">
        <v>0</v>
      </c>
      <c r="E39" s="1" t="str">
        <v>Sunday</v>
      </c>
      <c r="F39" s="12" t="str">
        <v>24</v>
      </c>
    </row>
    <row r="40" spans="1:6">
      <c r="A40" s="7" t="s">
        <v>135</v>
      </c>
      <c r="B40" s="12" t="str" cm="1">
        <f t="array" ref="B40:F40">_xlfn.TEXTSPLIT(A40, "-")</f>
        <v>20048</v>
      </c>
      <c r="C40" s="1" t="str">
        <v>Monday</v>
      </c>
      <c r="D40" s="12" t="str">
        <v>0</v>
      </c>
      <c r="E40" s="1" t="str">
        <v>Sunday</v>
      </c>
      <c r="F40" s="12" t="str">
        <v>24</v>
      </c>
    </row>
    <row r="41" spans="1:6">
      <c r="A41" s="7" t="s">
        <v>136</v>
      </c>
      <c r="B41" s="12" t="str" cm="1">
        <f t="array" ref="B41:F41">_xlfn.TEXTSPLIT(A41, "-")</f>
        <v>20050</v>
      </c>
      <c r="C41" s="1" t="str">
        <v>Monday</v>
      </c>
      <c r="D41" s="12" t="str">
        <v>0</v>
      </c>
      <c r="E41" s="1" t="str">
        <v>Sunday</v>
      </c>
      <c r="F41" s="12" t="str">
        <v>24</v>
      </c>
    </row>
    <row r="42" spans="1:6">
      <c r="A42" s="7" t="s">
        <v>137</v>
      </c>
      <c r="B42" s="12" t="str" cm="1">
        <f t="array" ref="B42:F42">_xlfn.TEXTSPLIT(A42, "-")</f>
        <v>20052</v>
      </c>
      <c r="C42" s="1" t="str">
        <v>Monday</v>
      </c>
      <c r="D42" s="12" t="str">
        <v>0</v>
      </c>
      <c r="E42" s="1" t="str">
        <v>Sunday</v>
      </c>
      <c r="F42" s="12" t="str">
        <v>24</v>
      </c>
    </row>
    <row r="43" spans="1:6">
      <c r="A43" s="7" t="s">
        <v>138</v>
      </c>
      <c r="B43" s="12" t="str" cm="1">
        <f t="array" ref="B43:F43">_xlfn.TEXTSPLIT(A43, "-")</f>
        <v>20054</v>
      </c>
      <c r="C43" s="1" t="str">
        <v>Monday</v>
      </c>
      <c r="D43" s="12" t="str">
        <v>0</v>
      </c>
      <c r="E43" s="1" t="str">
        <v>Sunday</v>
      </c>
      <c r="F43" s="12" t="str">
        <v>24</v>
      </c>
    </row>
    <row r="44" spans="1:6">
      <c r="A44" s="7" t="s">
        <v>139</v>
      </c>
      <c r="B44" s="12" t="str" cm="1">
        <f t="array" ref="B44:F44">_xlfn.TEXTSPLIT(A44, "-")</f>
        <v>20058</v>
      </c>
      <c r="C44" s="1" t="str">
        <v>Monday</v>
      </c>
      <c r="D44" s="12" t="str">
        <v>0</v>
      </c>
      <c r="E44" s="1" t="str">
        <v>Sunday</v>
      </c>
      <c r="F44" s="12" t="str">
        <v>24</v>
      </c>
    </row>
    <row r="45" spans="1:6">
      <c r="A45" s="7" t="s">
        <v>140</v>
      </c>
      <c r="B45" s="12" t="str" cm="1">
        <f t="array" ref="B45:F45">_xlfn.TEXTSPLIT(A45, "-")</f>
        <v>20060</v>
      </c>
      <c r="C45" s="1" t="str">
        <v>Monday</v>
      </c>
      <c r="D45" s="12" t="str">
        <v>0</v>
      </c>
      <c r="E45" s="1" t="str">
        <v>Sunday</v>
      </c>
      <c r="F45" s="12" t="str">
        <v>24</v>
      </c>
    </row>
    <row r="46" spans="1:6">
      <c r="A46" s="7" t="s">
        <v>141</v>
      </c>
      <c r="B46" s="12" t="str" cm="1">
        <f t="array" ref="B46:F46">_xlfn.TEXTSPLIT(A46, "-")</f>
        <v>21000</v>
      </c>
      <c r="C46" s="1" t="str">
        <v>Monday</v>
      </c>
      <c r="D46" s="12" t="str">
        <v>0</v>
      </c>
      <c r="E46" s="1" t="str">
        <v>Sunday</v>
      </c>
      <c r="F46" s="12" t="str">
        <v>24</v>
      </c>
    </row>
    <row r="47" spans="1:6">
      <c r="A47" s="7" t="s">
        <v>142</v>
      </c>
      <c r="B47" s="12" t="str" cm="1">
        <f t="array" ref="B47:F47">_xlfn.TEXTSPLIT(A47, "-")</f>
        <v>21002</v>
      </c>
      <c r="C47" s="1" t="str">
        <v>Monday</v>
      </c>
      <c r="D47" s="12" t="str">
        <v>0</v>
      </c>
      <c r="E47" s="1" t="str">
        <v>Sunday</v>
      </c>
      <c r="F47" s="12" t="str">
        <v>24</v>
      </c>
    </row>
    <row r="48" spans="1:6">
      <c r="A48" s="7" t="s">
        <v>143</v>
      </c>
      <c r="B48" s="12" t="str" cm="1">
        <f t="array" ref="B48:F48">_xlfn.TEXTSPLIT(A48, "-")</f>
        <v>21004</v>
      </c>
      <c r="C48" s="1" t="str">
        <v>Monday</v>
      </c>
      <c r="D48" s="12" t="str">
        <v>0</v>
      </c>
      <c r="E48" s="1" t="str">
        <v>Sunday</v>
      </c>
      <c r="F48" s="12" t="str">
        <v>24</v>
      </c>
    </row>
    <row r="49" spans="1:6">
      <c r="A49" s="7" t="s">
        <v>144</v>
      </c>
      <c r="B49" s="12" t="str" cm="1">
        <f t="array" ref="B49:F49">_xlfn.TEXTSPLIT(A49, "-")</f>
        <v>21006</v>
      </c>
      <c r="C49" s="1" t="str">
        <v>Monday</v>
      </c>
      <c r="D49" s="12" t="str">
        <v>0</v>
      </c>
      <c r="E49" s="1" t="str">
        <v>Sunday</v>
      </c>
      <c r="F49" s="12" t="str">
        <v>24</v>
      </c>
    </row>
    <row r="50" spans="1:6">
      <c r="A50" s="7" t="s">
        <v>145</v>
      </c>
      <c r="B50" s="12" t="str" cm="1">
        <f t="array" ref="B50:F50">_xlfn.TEXTSPLIT(A50, "-")</f>
        <v>21008</v>
      </c>
      <c r="C50" s="1" t="str">
        <v>Monday</v>
      </c>
      <c r="D50" s="12" t="str">
        <v>0</v>
      </c>
      <c r="E50" s="1" t="str">
        <v>Sunday</v>
      </c>
      <c r="F50" s="12" t="str">
        <v>24</v>
      </c>
    </row>
    <row r="51" spans="1:6">
      <c r="A51" s="7" t="s">
        <v>146</v>
      </c>
      <c r="B51" s="12" t="str" cm="1">
        <f t="array" ref="B51:F51">_xlfn.TEXTSPLIT(A51, "-")</f>
        <v>21010</v>
      </c>
      <c r="C51" s="1" t="str">
        <v>Monday</v>
      </c>
      <c r="D51" s="12" t="str">
        <v>0</v>
      </c>
      <c r="E51" s="1" t="str">
        <v>Sunday</v>
      </c>
      <c r="F51" s="12" t="str">
        <v>24</v>
      </c>
    </row>
    <row r="52" spans="1:6">
      <c r="A52" s="7" t="s">
        <v>147</v>
      </c>
      <c r="B52" s="12" t="str" cm="1">
        <f t="array" ref="B52:F52">_xlfn.TEXTSPLIT(A52, "-")</f>
        <v>21012</v>
      </c>
      <c r="C52" s="1" t="str">
        <v>Monday</v>
      </c>
      <c r="D52" s="12" t="str">
        <v>0</v>
      </c>
      <c r="E52" s="1" t="str">
        <v>Sunday</v>
      </c>
      <c r="F52" s="12" t="str">
        <v>24</v>
      </c>
    </row>
    <row r="53" spans="1:6">
      <c r="A53" s="7" t="s">
        <v>148</v>
      </c>
      <c r="B53" s="12" t="str" cm="1">
        <f t="array" ref="B53:F53">_xlfn.TEXTSPLIT(A53, "-")</f>
        <v>21014</v>
      </c>
      <c r="C53" s="1" t="str">
        <v>Monday</v>
      </c>
      <c r="D53" s="12" t="str">
        <v>0</v>
      </c>
      <c r="E53" s="1" t="str">
        <v>Sunday</v>
      </c>
      <c r="F53" s="12" t="str">
        <v>24</v>
      </c>
    </row>
    <row r="54" spans="1:6">
      <c r="A54" s="9" t="s">
        <v>149</v>
      </c>
      <c r="B54" s="12" t="str" cm="1">
        <f t="array" ref="B54:F54">_xlfn.TEXTSPLIT(A54, "-")</f>
        <v>21016</v>
      </c>
      <c r="C54" s="10" t="str">
        <v>Monday</v>
      </c>
      <c r="D54" s="13" t="str">
        <v>0</v>
      </c>
      <c r="E54" s="10" t="str">
        <v>Sunday</v>
      </c>
      <c r="F54" s="13" t="str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9" sqref="B9"/>
    </sheetView>
  </sheetViews>
  <sheetFormatPr defaultColWidth="11" defaultRowHeight="14.1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>
      <c r="A1" s="41" t="s">
        <v>11</v>
      </c>
      <c r="B1" s="40" t="s">
        <v>150</v>
      </c>
    </row>
    <row r="2" spans="1:3" ht="18.95">
      <c r="B2" s="39" t="s">
        <v>151</v>
      </c>
    </row>
    <row r="5" spans="1:3" ht="15">
      <c r="B5" s="1" t="s">
        <v>97</v>
      </c>
    </row>
    <row r="6" spans="1:3" ht="15">
      <c r="A6" s="3" t="s">
        <v>98</v>
      </c>
      <c r="B6" s="48" t="s">
        <v>152</v>
      </c>
    </row>
    <row r="7" spans="1:3" ht="15">
      <c r="A7" s="3" t="s">
        <v>100</v>
      </c>
      <c r="B7" s="49" t="s">
        <v>153</v>
      </c>
    </row>
    <row r="8" spans="1:3" ht="15">
      <c r="B8" s="1" t="s">
        <v>154</v>
      </c>
    </row>
    <row r="10" spans="1:3" ht="24">
      <c r="A10" s="18" t="s">
        <v>92</v>
      </c>
    </row>
    <row r="11" spans="1:3" ht="15">
      <c r="A11" s="32" t="s">
        <v>155</v>
      </c>
      <c r="B11" s="17" t="s">
        <v>156</v>
      </c>
      <c r="C11" s="17" t="s">
        <v>157</v>
      </c>
    </row>
    <row r="12" spans="1:3" ht="15">
      <c r="A12" s="32">
        <v>44927</v>
      </c>
      <c r="B12" s="17" t="s">
        <v>158</v>
      </c>
      <c r="C12" s="17">
        <v>200</v>
      </c>
    </row>
    <row r="13" spans="1:3" ht="15">
      <c r="A13" s="32">
        <v>44928</v>
      </c>
      <c r="B13" s="17" t="s">
        <v>159</v>
      </c>
      <c r="C13" s="17" t="e">
        <v>#N/A</v>
      </c>
    </row>
    <row r="14" spans="1:3" ht="15">
      <c r="A14" s="32">
        <v>44929</v>
      </c>
      <c r="B14" s="17" t="s">
        <v>160</v>
      </c>
      <c r="C14" s="17">
        <v>50</v>
      </c>
    </row>
    <row r="15" spans="1:3" ht="15">
      <c r="A15" s="32">
        <v>44930</v>
      </c>
      <c r="B15" s="17" t="s">
        <v>161</v>
      </c>
      <c r="C15" s="17" t="e">
        <v>#N/A</v>
      </c>
    </row>
    <row r="16" spans="1:3" ht="15">
      <c r="A16" s="32">
        <v>44931</v>
      </c>
      <c r="B16" s="17" t="s">
        <v>162</v>
      </c>
      <c r="C16" s="17">
        <v>10</v>
      </c>
    </row>
    <row r="17" spans="1:3" ht="15">
      <c r="A17" s="32">
        <v>44932</v>
      </c>
      <c r="B17" s="17" t="s">
        <v>163</v>
      </c>
      <c r="C17" s="17">
        <v>150</v>
      </c>
    </row>
    <row r="18" spans="1:3" ht="15">
      <c r="A18" s="32">
        <v>44933</v>
      </c>
      <c r="B18" s="17" t="s">
        <v>164</v>
      </c>
      <c r="C18" s="17">
        <v>80</v>
      </c>
    </row>
    <row r="19" spans="1:3" ht="15">
      <c r="A19" s="32">
        <v>44934</v>
      </c>
      <c r="B19" s="17" t="s">
        <v>165</v>
      </c>
      <c r="C19" s="17" t="e">
        <v>#N/A</v>
      </c>
    </row>
    <row r="20" spans="1:3" ht="15">
      <c r="A20" s="32">
        <v>44935</v>
      </c>
      <c r="B20" s="17" t="s">
        <v>166</v>
      </c>
      <c r="C20" s="17">
        <v>30</v>
      </c>
    </row>
    <row r="21" spans="1:3" ht="15">
      <c r="A21" s="32">
        <v>44936</v>
      </c>
      <c r="B21" s="17" t="s">
        <v>167</v>
      </c>
      <c r="C21" s="17" t="e">
        <v>#N/A</v>
      </c>
    </row>
    <row r="22" spans="1:3" ht="15">
      <c r="B22" s="17" t="s">
        <v>168</v>
      </c>
      <c r="C22" s="25" cm="1">
        <f t="array" ref="C22">SUM(IFERROR(C12:C21,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D6" sqref="D6"/>
    </sheetView>
  </sheetViews>
  <sheetFormatPr defaultColWidth="11" defaultRowHeight="14.1"/>
  <cols>
    <col min="1" max="1" width="28.1640625" style="2" bestFit="1" customWidth="1"/>
    <col min="2" max="16384" width="11" style="2"/>
  </cols>
  <sheetData>
    <row r="1" spans="1:14" ht="21">
      <c r="A1" s="41" t="s">
        <v>12</v>
      </c>
      <c r="B1" s="40" t="s">
        <v>169</v>
      </c>
    </row>
    <row r="3" spans="1:14" ht="15">
      <c r="B3" s="1" t="s">
        <v>97</v>
      </c>
    </row>
    <row r="4" spans="1:14" ht="18.95">
      <c r="A4" s="42" t="s">
        <v>98</v>
      </c>
      <c r="B4" s="1"/>
      <c r="C4" s="50" t="s">
        <v>170</v>
      </c>
    </row>
    <row r="5" spans="1:14" ht="18.95">
      <c r="A5" s="42" t="s">
        <v>100</v>
      </c>
      <c r="B5" s="1"/>
      <c r="C5" s="2" t="s">
        <v>171</v>
      </c>
    </row>
    <row r="6" spans="1:14" ht="15">
      <c r="A6" s="3"/>
      <c r="B6" s="1"/>
      <c r="C6" s="2" t="s">
        <v>172</v>
      </c>
    </row>
    <row r="7" spans="1:14">
      <c r="C7" s="2" t="s">
        <v>173</v>
      </c>
    </row>
    <row r="8" spans="1:14" ht="24">
      <c r="A8" s="18" t="s">
        <v>92</v>
      </c>
      <c r="M8" s="18" t="s">
        <v>174</v>
      </c>
    </row>
    <row r="9" spans="1:14" ht="15">
      <c r="A9" s="26"/>
      <c r="B9" s="26" t="s">
        <v>175</v>
      </c>
      <c r="C9" s="26" t="s">
        <v>176</v>
      </c>
      <c r="D9" s="26" t="s">
        <v>177</v>
      </c>
      <c r="E9" s="26" t="s">
        <v>178</v>
      </c>
      <c r="F9" s="26" t="s">
        <v>179</v>
      </c>
      <c r="G9" s="26" t="s">
        <v>180</v>
      </c>
      <c r="H9" s="26" t="s">
        <v>181</v>
      </c>
      <c r="I9" s="26" t="s">
        <v>182</v>
      </c>
      <c r="J9" s="26" t="s">
        <v>183</v>
      </c>
      <c r="M9" s="19" t="s">
        <v>15</v>
      </c>
      <c r="N9" s="19" t="s">
        <v>184</v>
      </c>
    </row>
    <row r="10" spans="1:14" ht="15">
      <c r="A10" s="26" t="s">
        <v>175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175</v>
      </c>
    </row>
    <row r="11" spans="1:14" ht="15">
      <c r="A11" s="26" t="s">
        <v>176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176</v>
      </c>
    </row>
    <row r="12" spans="1:14" ht="15">
      <c r="A12" s="26" t="s">
        <v>177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177</v>
      </c>
    </row>
    <row r="13" spans="1:14" ht="15">
      <c r="A13" s="26" t="s">
        <v>178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178</v>
      </c>
    </row>
    <row r="14" spans="1:14" ht="15">
      <c r="A14" s="26" t="s">
        <v>179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179</v>
      </c>
    </row>
    <row r="15" spans="1:14" ht="15">
      <c r="A15" s="26" t="s">
        <v>180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180</v>
      </c>
    </row>
    <row r="16" spans="1:14" ht="15">
      <c r="A16" s="26" t="s">
        <v>181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181</v>
      </c>
    </row>
    <row r="17" spans="1:14" ht="15">
      <c r="A17" s="26" t="s">
        <v>182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182</v>
      </c>
    </row>
    <row r="18" spans="1:14" ht="15">
      <c r="A18" s="26" t="s">
        <v>183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183</v>
      </c>
    </row>
    <row r="21" spans="1:14" ht="24">
      <c r="A21" s="18" t="s">
        <v>185</v>
      </c>
    </row>
    <row r="22" spans="1:14" ht="15">
      <c r="A22" s="14" t="s">
        <v>186</v>
      </c>
      <c r="B22" s="17" t="s">
        <v>187</v>
      </c>
      <c r="C22" s="16" t="s">
        <v>104</v>
      </c>
    </row>
    <row r="23" spans="1:14" ht="15">
      <c r="A23" s="7">
        <v>10100</v>
      </c>
      <c r="B23" s="12">
        <v>10102</v>
      </c>
      <c r="C23" s="43">
        <f>VLOOKUP(VLOOKUP(A23, $M$9:$N$18, 2, FALSE), $A$9:$J$18, MATCH(VLOOKUP(B23, $M$9:$N$18, 2, FALSE), $A$9:$J$9, 0), FALSE)</f>
        <v>95</v>
      </c>
    </row>
    <row r="24" spans="1:14" ht="15">
      <c r="A24" s="7">
        <v>10100</v>
      </c>
      <c r="B24" s="12">
        <v>10104</v>
      </c>
      <c r="C24" s="43">
        <f t="shared" ref="C24:C35" si="0">VLOOKUP(VLOOKUP(A24, $M$9:$N$18, 2, FALSE), $A$9:$J$18, MATCH(VLOOKUP(B24, $M$9:$N$18, 2, FALSE), $A$9:$J$9, 0), FALSE)</f>
        <v>-1</v>
      </c>
    </row>
    <row r="25" spans="1:14" ht="15">
      <c r="A25" s="7">
        <v>10108</v>
      </c>
      <c r="B25" s="12">
        <v>10102</v>
      </c>
      <c r="C25" s="43">
        <f t="shared" si="0"/>
        <v>160</v>
      </c>
    </row>
    <row r="26" spans="1:14" ht="15">
      <c r="A26" s="7">
        <v>10100</v>
      </c>
      <c r="B26" s="12">
        <v>10106</v>
      </c>
      <c r="C26" s="43">
        <f t="shared" si="0"/>
        <v>185</v>
      </c>
    </row>
    <row r="27" spans="1:14" ht="15">
      <c r="A27" s="7">
        <v>10108</v>
      </c>
      <c r="B27" s="12">
        <v>10110</v>
      </c>
      <c r="C27" s="43">
        <f t="shared" si="0"/>
        <v>50</v>
      </c>
    </row>
    <row r="28" spans="1:14" ht="15">
      <c r="A28" s="7">
        <v>10102</v>
      </c>
      <c r="B28" s="12">
        <v>10104</v>
      </c>
      <c r="C28" s="43">
        <f t="shared" si="0"/>
        <v>-1</v>
      </c>
    </row>
    <row r="29" spans="1:14" ht="15">
      <c r="A29" s="7">
        <v>10106</v>
      </c>
      <c r="B29" s="12">
        <v>10108</v>
      </c>
      <c r="C29" s="43">
        <f t="shared" si="0"/>
        <v>70</v>
      </c>
    </row>
    <row r="30" spans="1:14" ht="15">
      <c r="A30" s="7">
        <v>10102</v>
      </c>
      <c r="B30" s="12">
        <v>10106</v>
      </c>
      <c r="C30" s="43">
        <f t="shared" si="0"/>
        <v>90</v>
      </c>
    </row>
    <row r="31" spans="1:14" ht="15">
      <c r="A31" s="7">
        <v>10110</v>
      </c>
      <c r="B31" s="12">
        <v>10114</v>
      </c>
      <c r="C31" s="43">
        <f t="shared" si="0"/>
        <v>180</v>
      </c>
    </row>
    <row r="32" spans="1:14" ht="15">
      <c r="A32" s="7">
        <v>10104</v>
      </c>
      <c r="B32" s="12">
        <v>10106</v>
      </c>
      <c r="C32" s="43">
        <f t="shared" si="0"/>
        <v>60</v>
      </c>
    </row>
    <row r="33" spans="1:3" ht="15">
      <c r="A33" s="7">
        <v>10110</v>
      </c>
      <c r="B33" s="12">
        <v>10112</v>
      </c>
      <c r="C33" s="43">
        <f t="shared" si="0"/>
        <v>115</v>
      </c>
    </row>
    <row r="34" spans="1:3" ht="15">
      <c r="A34" s="7">
        <v>10100</v>
      </c>
      <c r="B34" s="12">
        <v>10114</v>
      </c>
      <c r="C34" s="43">
        <f t="shared" si="0"/>
        <v>480</v>
      </c>
    </row>
    <row r="35" spans="1:3" ht="15">
      <c r="A35" s="9">
        <v>10112</v>
      </c>
      <c r="B35" s="13">
        <v>10116</v>
      </c>
      <c r="C35" s="43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sangram</dc:creator>
  <cp:keywords/>
  <dc:description/>
  <cp:lastModifiedBy/>
  <cp:revision/>
  <dcterms:created xsi:type="dcterms:W3CDTF">2015-02-10T17:33:11Z</dcterms:created>
  <dcterms:modified xsi:type="dcterms:W3CDTF">2024-10-22T11:02:07Z</dcterms:modified>
  <cp:category/>
  <cp:contentStatus/>
</cp:coreProperties>
</file>